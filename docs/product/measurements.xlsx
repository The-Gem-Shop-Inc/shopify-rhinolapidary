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62B56429-84B0-43FA-91C1-AEDEE645C7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24" i="1"/>
  <c r="F25" i="1"/>
  <c r="F26" i="1"/>
  <c r="F27" i="1"/>
  <c r="F28" i="1"/>
  <c r="F33" i="1"/>
  <c r="K18" i="1"/>
  <c r="I18" i="1"/>
  <c r="G18" i="1"/>
  <c r="K17" i="1"/>
  <c r="I17" i="1"/>
  <c r="G17" i="1"/>
  <c r="K16" i="1"/>
  <c r="I16" i="1"/>
  <c r="G16" i="1"/>
  <c r="K15" i="1"/>
  <c r="I15" i="1"/>
  <c r="G15" i="1"/>
  <c r="K14" i="1"/>
  <c r="I14" i="1"/>
  <c r="G14" i="1"/>
  <c r="E14" i="1"/>
  <c r="K13" i="1"/>
  <c r="I13" i="1"/>
  <c r="G13" i="1"/>
  <c r="E13" i="1"/>
  <c r="K12" i="1"/>
  <c r="I12" i="1"/>
  <c r="G12" i="1"/>
  <c r="E12" i="1"/>
  <c r="K11" i="1"/>
  <c r="I11" i="1"/>
  <c r="G11" i="1"/>
  <c r="E11" i="1"/>
  <c r="K10" i="1"/>
  <c r="I10" i="1"/>
  <c r="G10" i="1"/>
  <c r="E10" i="1"/>
  <c r="K9" i="1"/>
  <c r="I9" i="1"/>
  <c r="G9" i="1"/>
  <c r="E9" i="1"/>
  <c r="K8" i="1"/>
  <c r="I8" i="1"/>
  <c r="G8" i="1"/>
  <c r="E8" i="1"/>
  <c r="K7" i="1"/>
  <c r="I7" i="1"/>
  <c r="G7" i="1"/>
  <c r="E7" i="1"/>
  <c r="K6" i="1"/>
  <c r="I6" i="1"/>
  <c r="G6" i="1"/>
  <c r="E6" i="1"/>
</calcChain>
</file>

<file path=xl/sharedStrings.xml><?xml version="1.0" encoding="utf-8"?>
<sst xmlns="http://schemas.openxmlformats.org/spreadsheetml/2006/main" count="59" uniqueCount="48">
  <si>
    <t>M    E    A    S    U    R    E    M    E    N    T    S</t>
  </si>
  <si>
    <t>DIMENTIONS</t>
  </si>
  <si>
    <t xml:space="preserve">WEIGHT </t>
  </si>
  <si>
    <t>MODELS</t>
  </si>
  <si>
    <t>MACHINE                                                          ( inch )                                 L x W x H</t>
  </si>
  <si>
    <t xml:space="preserve"> MACHINE                                   ( Kg )</t>
  </si>
  <si>
    <t xml:space="preserve"> WITH CRATE                  ( Kg )</t>
  </si>
  <si>
    <t>TRIMMASTER 8''</t>
  </si>
  <si>
    <t>63 x 38 x 33</t>
  </si>
  <si>
    <t>74 x 49 x 52</t>
  </si>
  <si>
    <t>SAWMASTER 14''</t>
  </si>
  <si>
    <t>102 x 60 x53</t>
  </si>
  <si>
    <t>117 x 74 x 78</t>
  </si>
  <si>
    <t>SAWMASTER 24''</t>
  </si>
  <si>
    <t>145 x 95 x105</t>
  </si>
  <si>
    <t>153 x 105 x 123</t>
  </si>
  <si>
    <t>SAWMASTER 18''</t>
  </si>
  <si>
    <t>140 x 95 x105</t>
  </si>
  <si>
    <t>148 x 105 x 123</t>
  </si>
  <si>
    <t>SAWMASTER 36''</t>
  </si>
  <si>
    <t>183 x 110 x 120</t>
  </si>
  <si>
    <t>205 x 130 x140</t>
  </si>
  <si>
    <t>LAPMASTER 12''</t>
  </si>
  <si>
    <t>67 x 50 x 42</t>
  </si>
  <si>
    <t>78 x 61 x 62</t>
  </si>
  <si>
    <t>LAPMASTER 18''</t>
  </si>
  <si>
    <t>85 x 65 x 55</t>
  </si>
  <si>
    <t>95 x 75 x 67</t>
  </si>
  <si>
    <t>BEADMASTER 6''</t>
  </si>
  <si>
    <t>75 x 50 x 40</t>
  </si>
  <si>
    <t>85 x 67 x 64</t>
  </si>
  <si>
    <t>SHAPEMASTER 6''</t>
  </si>
  <si>
    <t>GRINDMASTER QUAD</t>
  </si>
  <si>
    <t>11 x 76 x 67</t>
  </si>
  <si>
    <t>GRINDMASTER TRIPRO</t>
  </si>
  <si>
    <t>TUMBMASTER 10</t>
  </si>
  <si>
    <t>TUMBMASTER 50</t>
  </si>
  <si>
    <t>TANK CAPACITY LITER</t>
  </si>
  <si>
    <t>TANK CAPACITY GALLON</t>
  </si>
  <si>
    <t>MACHINE                                  ( cm )                                  L x W x H</t>
  </si>
  <si>
    <t>CRATE                               ( cm )                                  L x W x H</t>
  </si>
  <si>
    <t>CRATE                                ( inch )                                       L x W x H</t>
  </si>
  <si>
    <t xml:space="preserve"> MACHINE                     ( pound )</t>
  </si>
  <si>
    <t xml:space="preserve"> WITH CRATE                   ( pound )</t>
  </si>
  <si>
    <t>TANK CAPACITY</t>
  </si>
  <si>
    <t>Kg</t>
  </si>
  <si>
    <t>Pound</t>
  </si>
  <si>
    <t>TOTAL LOAD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</si>
</sst>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4"/>
      <color rgb="FFFFFFFF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83153"/>
      </patternFill>
    </fill>
    <fill>
      <patternFill patternType="solid">
        <fgColor rgb="FF167D8D"/>
      </patternFill>
    </fill>
    <fill>
      <patternFill patternType="solid">
        <fgColor rgb="FF4263A6"/>
      </patternFill>
    </fill>
    <fill>
      <patternFill patternType="solid">
        <fgColor rgb="FF263F5D"/>
      </patternFill>
    </fill>
    <fill>
      <patternFill patternType="solid">
        <fgColor rgb="FFF0F5F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Border="1"/>
    <xf numFmtId="0" fontId="6" fillId="4" borderId="3" xfId="0" applyNumberFormat="1" applyFont="1" applyFill="1" applyBorder="1" applyAlignment="1">
      <alignment horizontal="center" vertical="center" wrapText="1"/>
    </xf>
    <xf numFmtId="0" fontId="6" fillId="5" borderId="3" xfId="0" applyNumberFormat="1" applyFont="1" applyFill="1" applyBorder="1" applyAlignment="1">
      <alignment horizontal="center" vertical="center" wrapText="1"/>
    </xf>
    <xf numFmtId="0" fontId="6" fillId="5" borderId="9" xfId="0" applyNumberFormat="1" applyFont="1" applyFill="1" applyBorder="1" applyAlignment="1">
      <alignment horizontal="center" vertical="center" wrapText="1"/>
    </xf>
    <xf numFmtId="0" fontId="2" fillId="7" borderId="5" xfId="0" applyNumberFormat="1" applyFont="1" applyFill="1" applyBorder="1" applyAlignment="1">
      <alignment horizontal="center" vertical="center" wrapText="1"/>
    </xf>
    <xf numFmtId="0" fontId="2" fillId="7" borderId="5" xfId="0" applyNumberFormat="1" applyFont="1" applyFill="1" applyBorder="1" applyAlignment="1">
      <alignment horizontal="center" vertical="center"/>
    </xf>
    <xf numFmtId="0" fontId="1" fillId="7" borderId="4" xfId="0" applyNumberFormat="1" applyFont="1" applyFill="1" applyBorder="1" applyAlignment="1">
      <alignment horizontal="left" vertical="center" wrapText="1"/>
    </xf>
    <xf numFmtId="0" fontId="0" fillId="7" borderId="0" xfId="0" applyNumberFormat="1" applyFont="1" applyFill="1" applyBorder="1" applyAlignment="1">
      <alignment horizontal="center"/>
    </xf>
    <xf numFmtId="0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/>
    </xf>
    <xf numFmtId="0" fontId="1" fillId="8" borderId="6" xfId="0" applyNumberFormat="1" applyFont="1" applyFill="1" applyBorder="1" applyAlignment="1">
      <alignment horizontal="left" vertical="center" wrapText="1"/>
    </xf>
    <xf numFmtId="0" fontId="0" fillId="8" borderId="0" xfId="0" applyNumberFormat="1" applyFont="1" applyFill="1" applyBorder="1" applyAlignment="1">
      <alignment horizontal="center"/>
    </xf>
    <xf numFmtId="0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NumberFormat="1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0" fontId="1" fillId="7" borderId="6" xfId="0" applyNumberFormat="1" applyFont="1" applyFill="1" applyBorder="1" applyAlignment="1">
      <alignment horizontal="left" vertical="center" wrapText="1"/>
    </xf>
    <xf numFmtId="4" fontId="2" fillId="8" borderId="1" xfId="0" applyNumberFormat="1" applyFont="1" applyFill="1" applyBorder="1" applyAlignment="1">
      <alignment horizontal="center" vertical="center"/>
    </xf>
    <xf numFmtId="4" fontId="2" fillId="8" borderId="1" xfId="0" applyNumberFormat="1" applyFont="1" applyFill="1" applyBorder="1" applyAlignment="1">
      <alignment horizontal="center" vertical="center" wrapText="1"/>
    </xf>
    <xf numFmtId="0" fontId="1" fillId="7" borderId="7" xfId="0" applyNumberFormat="1" applyFont="1" applyFill="1" applyBorder="1" applyAlignment="1">
      <alignment horizontal="left" vertical="center" wrapText="1"/>
    </xf>
    <xf numFmtId="0" fontId="3" fillId="8" borderId="0" xfId="0" applyNumberFormat="1" applyFont="1" applyFill="1" applyBorder="1"/>
    <xf numFmtId="12" fontId="0" fillId="8" borderId="0" xfId="0" applyNumberFormat="1" applyFont="1" applyFill="1" applyBorder="1" applyAlignment="1">
      <alignment horizontal="center"/>
    </xf>
    <xf numFmtId="0" fontId="3" fillId="7" borderId="0" xfId="0" applyNumberFormat="1" applyFont="1" applyFill="1" applyBorder="1"/>
    <xf numFmtId="0" fontId="4" fillId="3" borderId="2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4" fillId="3" borderId="9" xfId="0" applyNumberFormat="1" applyFont="1" applyFill="1" applyBorder="1" applyAlignment="1">
      <alignment horizontal="center" vertical="center"/>
    </xf>
    <xf numFmtId="0" fontId="4" fillId="9" borderId="0" xfId="0" applyNumberFormat="1" applyFont="1" applyFill="1" applyBorder="1" applyAlignment="1">
      <alignment vertical="center"/>
    </xf>
    <xf numFmtId="0" fontId="0" fillId="9" borderId="0" xfId="0" applyFill="1" applyBorder="1" applyAlignment="1"/>
    <xf numFmtId="0" fontId="5" fillId="9" borderId="0" xfId="0" applyNumberFormat="1" applyFont="1" applyFill="1" applyBorder="1" applyAlignment="1">
      <alignment horizontal="center"/>
    </xf>
    <xf numFmtId="0" fontId="5" fillId="9" borderId="0" xfId="0" applyNumberFormat="1" applyFont="1" applyFill="1" applyBorder="1" applyAlignment="1">
      <alignment vertical="center" wrapText="1"/>
    </xf>
    <xf numFmtId="4" fontId="2" fillId="7" borderId="5" xfId="0" applyNumberFormat="1" applyFont="1" applyFill="1" applyBorder="1" applyAlignment="1">
      <alignment horizontal="center" vertical="center"/>
    </xf>
    <xf numFmtId="2" fontId="2" fillId="7" borderId="5" xfId="0" applyNumberFormat="1" applyFont="1" applyFill="1" applyBorder="1" applyAlignment="1">
      <alignment horizontal="center" vertical="center"/>
    </xf>
    <xf numFmtId="4" fontId="2" fillId="7" borderId="10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4" fontId="2" fillId="8" borderId="1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4" fontId="2" fillId="7" borderId="11" xfId="0" applyNumberFormat="1" applyFont="1" applyFill="1" applyBorder="1" applyAlignment="1">
      <alignment horizontal="center" vertical="center"/>
    </xf>
    <xf numFmtId="0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/>
    </xf>
    <xf numFmtId="0" fontId="2" fillId="10" borderId="8" xfId="0" applyNumberFormat="1" applyFont="1" applyFill="1" applyBorder="1" applyAlignment="1">
      <alignment horizontal="center" vertical="center"/>
    </xf>
    <xf numFmtId="4" fontId="2" fillId="10" borderId="1" xfId="0" applyNumberFormat="1" applyFont="1" applyFill="1" applyBorder="1" applyAlignment="1">
      <alignment horizontal="center" vertical="center"/>
    </xf>
    <xf numFmtId="4" fontId="2" fillId="10" borderId="8" xfId="0" applyNumberFormat="1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4" fontId="2" fillId="10" borderId="11" xfId="0" applyNumberFormat="1" applyFont="1" applyFill="1" applyBorder="1" applyAlignment="1">
      <alignment horizontal="center" vertical="center"/>
    </xf>
    <xf numFmtId="2" fontId="2" fillId="10" borderId="8" xfId="0" applyNumberFormat="1" applyFont="1" applyFill="1" applyBorder="1" applyAlignment="1">
      <alignment horizontal="center" vertical="center"/>
    </xf>
    <xf numFmtId="4" fontId="2" fillId="10" borderId="1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0" fontId="7" fillId="11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13" borderId="2" xfId="0" applyNumberFormat="1" applyFont="1" applyFill="1" applyBorder="1" applyAlignment="1">
      <alignment horizontal="left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" fillId="8" borderId="7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13" borderId="3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" fillId="8" borderId="4" xfId="0" applyNumberFormat="1" applyFont="1" applyFill="1" applyBorder="1" applyAlignment="1">
      <alignment horizontal="left" vertical="center" wrapText="1"/>
    </xf>
    <xf numFmtId="4" fontId="2" fillId="12" borderId="5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12" borderId="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2" fillId="9" borderId="0" xfId="0" applyNumberFormat="1" applyFont="1" applyFill="1" applyBorder="1" applyAlignment="1">
      <alignment horizontal="center" vertical="center"/>
    </xf>
    <xf numFmtId="0" fontId="2" fillId="8" borderId="1" xfId="0" applyNumberFormat="1" applyFont="1" applyFill="1" applyBorder="1" applyAlignment="1">
      <alignment horizontal="center" vertical="center"/>
    </xf>
    <xf numFmtId="0" fontId="1" fillId="8" borderId="0" xfId="0" applyNumberFormat="1" applyFont="1" applyFill="1" applyBorder="1" applyAlignment="1">
      <alignment horizontal="left" vertical="center" wrapText="1"/>
    </xf>
    <xf numFmtId="4" fontId="2" fillId="8" borderId="0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 vertical="center"/>
    </xf>
    <xf numFmtId="4" fontId="2" fillId="8" borderId="8" xfId="0" applyNumberFormat="1" applyFont="1" applyFill="1" applyBorder="1" applyAlignment="1">
      <alignment horizontal="center" vertical="center"/>
    </xf>
    <xf numFmtId="0" fontId="2" fillId="8" borderId="8" xfId="0" applyNumberFormat="1" applyFont="1" applyFill="1" applyBorder="1" applyAlignment="1">
      <alignment horizontal="center" vertical="center"/>
    </xf>
    <xf numFmtId="0" fontId="2" fillId="12" borderId="5" xfId="0" applyNumberFormat="1" applyFont="1" applyFill="1" applyBorder="1" applyAlignment="1">
      <alignment horizontal="center" vertical="center"/>
    </xf>
    <xf numFmtId="0" fontId="12" fillId="9" borderId="0" xfId="0" applyNumberFormat="1" applyFont="1" applyFill="1" applyBorder="1" applyAlignment="1">
      <alignment horizontal="center" vertical="center"/>
    </xf>
    <xf numFmtId="0" fontId="13" fillId="8" borderId="4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4" fontId="2" fillId="12" borderId="1" xfId="0" applyNumberFormat="1" applyFont="1" applyFill="1" applyBorder="1" applyAlignment="1">
      <alignment horizontal="center" vertical="center"/>
    </xf>
    <xf numFmtId="0" fontId="13" fillId="8" borderId="6" xfId="0" applyNumberFormat="1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4" fontId="2" fillId="12" borderId="5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/>
    </xf>
    <xf numFmtId="0" fontId="9" fillId="11" borderId="3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1" fillId="8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0" borderId="0" xfId="0" applyBorder="1" applyAlignment="1"/>
    <xf numFmtId="0" fontId="7" fillId="4" borderId="2" xfId="0" applyNumberFormat="1" applyFont="1" applyFill="1" applyBorder="1" applyAlignment="1">
      <alignment horizontal="center" vertical="center"/>
    </xf>
    <xf numFmtId="0" fontId="7" fillId="4" borderId="3" xfId="0" applyNumberFormat="1" applyFont="1" applyFill="1" applyBorder="1" applyAlignment="1">
      <alignment horizontal="center" vertical="center"/>
    </xf>
    <xf numFmtId="0" fontId="7" fillId="5" borderId="3" xfId="0" applyNumberFormat="1" applyFont="1" applyFill="1" applyBorder="1" applyAlignment="1">
      <alignment horizontal="center" vertical="center"/>
    </xf>
    <xf numFmtId="0" fontId="7" fillId="5" borderId="9" xfId="0" applyNumberFormat="1" applyFont="1" applyFill="1" applyBorder="1" applyAlignment="1">
      <alignment horizontal="center" vertical="center"/>
    </xf>
    <xf numFmtId="0" fontId="8" fillId="9" borderId="13" xfId="0" applyNumberFormat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152400</xdr:colOff>
      <xdr:row>11</xdr:row>
      <xdr:rowOff>146050</xdr:rowOff>
    </xdr:from>
    <xdr:ext cx="65" cy="172227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5429250" y="2038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anchor="t">
          <a:spAutoFit/>
        </a:bodyPr>
        <a:lstStyle/>
        <a:p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34"/>
  <sheetViews>
    <sheetView tabSelected="1" topLeftCell="B1" workbookViewId="0">
      <pane ySplit="5" topLeftCell="A6" activePane="bottomLeft" state="frozen"/>
      <selection pane="bottomLeft" activeCell="C2" sqref="C2:K2"/>
    </sheetView>
  </sheetViews>
  <sheetFormatPr defaultRowHeight="14.4" x14ac:dyDescent="0.3"/>
  <cols>
    <col min="1" max="1" width="1.21875" customWidth="1"/>
    <col min="2" max="2" width="6.77734375" customWidth="1"/>
    <col min="3" max="3" width="19.88671875" customWidth="1"/>
    <col min="4" max="4" width="14.6640625" customWidth="1"/>
    <col min="5" max="5" width="18" customWidth="1"/>
    <col min="6" max="6" width="15.21875" customWidth="1"/>
    <col min="7" max="7" width="18.109375" customWidth="1"/>
    <col min="8" max="8" width="13.6640625" customWidth="1"/>
    <col min="9" max="9" width="13.44140625" customWidth="1"/>
    <col min="10" max="10" width="12.44140625" customWidth="1"/>
    <col min="11" max="11" width="12.109375" customWidth="1"/>
    <col min="12" max="12" width="17" customWidth="1"/>
  </cols>
  <sheetData>
    <row r="1" spans="3:12" ht="15" thickBot="1" x14ac:dyDescent="0.35"/>
    <row r="2" spans="3:12" ht="36" customHeight="1" thickBot="1" x14ac:dyDescent="0.35">
      <c r="C2" s="24" t="s">
        <v>0</v>
      </c>
      <c r="D2" s="25"/>
      <c r="E2" s="25"/>
      <c r="F2" s="25"/>
      <c r="G2" s="25"/>
      <c r="H2" s="25"/>
      <c r="I2" s="25"/>
      <c r="J2" s="25"/>
      <c r="K2" s="26"/>
      <c r="L2" s="27"/>
    </row>
    <row r="3" spans="3:12" ht="15" thickBot="1" x14ac:dyDescent="0.35">
      <c r="C3" s="95"/>
      <c r="D3" s="95"/>
      <c r="E3" s="95"/>
      <c r="F3" s="95"/>
      <c r="G3" s="95"/>
      <c r="H3" s="95"/>
      <c r="I3" s="95"/>
      <c r="J3" s="95"/>
      <c r="K3" s="95"/>
      <c r="L3" s="28"/>
    </row>
    <row r="4" spans="3:12" ht="28.05" customHeight="1" thickBot="1" x14ac:dyDescent="0.35">
      <c r="C4" s="29"/>
      <c r="D4" s="96" t="s">
        <v>1</v>
      </c>
      <c r="E4" s="97"/>
      <c r="F4" s="97"/>
      <c r="G4" s="97"/>
      <c r="H4" s="98" t="s">
        <v>2</v>
      </c>
      <c r="I4" s="98"/>
      <c r="J4" s="98"/>
      <c r="K4" s="99"/>
      <c r="L4" s="29"/>
    </row>
    <row r="5" spans="3:12" s="1" customFormat="1" ht="72" customHeight="1" thickBot="1" x14ac:dyDescent="0.35">
      <c r="C5" s="47" t="s">
        <v>3</v>
      </c>
      <c r="D5" s="3" t="s">
        <v>39</v>
      </c>
      <c r="E5" s="3" t="s">
        <v>4</v>
      </c>
      <c r="F5" s="3" t="s">
        <v>40</v>
      </c>
      <c r="G5" s="3" t="s">
        <v>41</v>
      </c>
      <c r="H5" s="4" t="s">
        <v>5</v>
      </c>
      <c r="I5" s="4" t="s">
        <v>42</v>
      </c>
      <c r="J5" s="4" t="s">
        <v>6</v>
      </c>
      <c r="K5" s="5" t="s">
        <v>43</v>
      </c>
      <c r="L5" s="30"/>
    </row>
    <row r="6" spans="3:12" ht="25.05" customHeight="1" x14ac:dyDescent="0.3">
      <c r="C6" s="8" t="s">
        <v>7</v>
      </c>
      <c r="D6" s="6" t="s">
        <v>8</v>
      </c>
      <c r="E6" s="6" t="str">
        <f t="shared" ref="E6:E14" si="0">_xlfn.LET(_xlpm.a,ROUND(VALUE(TRIM(MID(D6,1,FIND("x",D6)-1)))*8/2.54,0),_xlpm.b,ROUND(VALUE(TRIM(MID(D6,FIND("x",D6)+1,FIND("x",D6,FIND("x",D6)+1)-FIND("x",D6)-1)))*8/2.54,0),_xlpm.c,ROUND(VALUE(TRIM(MID(D6,FIND("x",D6,FIND("x",D6)+1)+1,99)))*8/2.54,0),INT(_xlpm.a/8)&amp;CHOOSE(MOD(_xlpm.a,8)+1,""," ⅛"," ¼"," ⅜"," ½"," ⅝"," ¾"," ⅞")&amp;" x "&amp;INT(_xlpm.b/8)&amp;CHOOSE(MOD(_xlpm.b,8)+1,""," ⅛"," ¼"," ⅜"," ½"," ⅝"," ¾"," ⅞")&amp;" x "&amp;INT(_xlpm.c/8)&amp;CHOOSE(MOD(_xlpm.c,8)+1,""," ⅛"," ¼"," ⅜"," ½"," ⅝"," ¾"," ⅞"))</f>
        <v>24 ¾ x 15 x 13</v>
      </c>
      <c r="F6" s="7" t="s">
        <v>9</v>
      </c>
      <c r="G6" s="7" t="str">
        <f t="shared" ref="G6:G18" si="1">_xlfn.LET(_xlpm.a,ROUND(VALUE(TRIM(MID(F6,1,FIND("x",F6)-1)))*8/2.54,0),_xlpm.b,ROUND(VALUE(TRIM(MID(F6,FIND("x",F6)+1,FIND("x",F6,FIND("x",F6)+1)-FIND("x",F6)-1)))*8/2.54,0),_xlpm.c,ROUND(VALUE(TRIM(MID(F6,FIND("x",F6,FIND("x",F6)+1)+1,99)))*8/2.54,0),INT(_xlpm.a/8)&amp;CHOOSE(MOD(_xlpm.a,8)+1,""," ⅛"," ¼"," ⅜"," ½"," ⅝"," ¾"," ⅞")&amp;" x "&amp;INT(_xlpm.b/8)&amp;CHOOSE(MOD(_xlpm.b,8)+1,""," ⅛"," ¼"," ⅜"," ½"," ⅝"," ¾"," ⅞")&amp;" x "&amp;INT(_xlpm.c/8)&amp;CHOOSE(MOD(_xlpm.c,8)+1,""," ⅛"," ¼"," ⅜"," ½"," ⅝"," ¾"," ⅞"))</f>
        <v>29 ⅛ x 19 ¼ x 20 ½</v>
      </c>
      <c r="H6" s="31">
        <v>33.5</v>
      </c>
      <c r="I6" s="32">
        <f>ROUND(H6*2.20462262-0.01,0)</f>
        <v>74</v>
      </c>
      <c r="J6" s="7">
        <v>59.5</v>
      </c>
      <c r="K6" s="33">
        <f>ROUND(J6*2.20462262-0.01,0)</f>
        <v>131</v>
      </c>
      <c r="L6" s="9"/>
    </row>
    <row r="7" spans="3:12" ht="25.05" customHeight="1" x14ac:dyDescent="0.3">
      <c r="C7" s="12" t="s">
        <v>10</v>
      </c>
      <c r="D7" s="10" t="s">
        <v>11</v>
      </c>
      <c r="E7" s="10" t="str">
        <f t="shared" si="0"/>
        <v>40 ⅛ x 23 ⅝ x 20 ⅞</v>
      </c>
      <c r="F7" s="11" t="s">
        <v>12</v>
      </c>
      <c r="G7" s="11" t="str">
        <f t="shared" si="1"/>
        <v>46 ⅛ x 29 ⅛ x 30 ¾</v>
      </c>
      <c r="H7" s="18">
        <v>94</v>
      </c>
      <c r="I7" s="34">
        <f>ROUND(H7*2.20462262-0.01,0)</f>
        <v>207</v>
      </c>
      <c r="J7" s="11">
        <v>141</v>
      </c>
      <c r="K7" s="35">
        <f t="shared" ref="K7:K18" si="2">ROUND(J7*2.20462262-0.01,0)</f>
        <v>311</v>
      </c>
      <c r="L7" s="13"/>
    </row>
    <row r="8" spans="3:12" ht="25.05" customHeight="1" x14ac:dyDescent="0.3">
      <c r="C8" s="17" t="s">
        <v>13</v>
      </c>
      <c r="D8" s="14" t="s">
        <v>14</v>
      </c>
      <c r="E8" s="14" t="str">
        <f t="shared" si="0"/>
        <v>57 ⅛ x 37 ⅜ x 41 ⅜</v>
      </c>
      <c r="F8" s="15" t="s">
        <v>15</v>
      </c>
      <c r="G8" s="15" t="str">
        <f t="shared" si="1"/>
        <v>60 ¼ x 41 ⅜ x 48 ⅜</v>
      </c>
      <c r="H8" s="16">
        <v>235.5</v>
      </c>
      <c r="I8" s="36">
        <f t="shared" ref="I8:I18" si="3">ROUND(H8*2.20462262-0.01,0)</f>
        <v>519</v>
      </c>
      <c r="J8" s="16">
        <v>356</v>
      </c>
      <c r="K8" s="37">
        <f t="shared" si="2"/>
        <v>785</v>
      </c>
      <c r="L8" s="9"/>
    </row>
    <row r="9" spans="3:12" ht="25.05" customHeight="1" x14ac:dyDescent="0.3">
      <c r="C9" s="12" t="s">
        <v>16</v>
      </c>
      <c r="D9" s="10" t="s">
        <v>17</v>
      </c>
      <c r="E9" s="10" t="str">
        <f t="shared" si="0"/>
        <v>55 ⅛ x 37 ⅜ x 41 ⅜</v>
      </c>
      <c r="F9" s="11" t="s">
        <v>18</v>
      </c>
      <c r="G9" s="11" t="str">
        <f t="shared" si="1"/>
        <v>58 ¼ x 41 ⅜ x 48 ⅜</v>
      </c>
      <c r="H9" s="18">
        <v>193</v>
      </c>
      <c r="I9" s="34">
        <f t="shared" si="3"/>
        <v>425</v>
      </c>
      <c r="J9" s="18">
        <v>303</v>
      </c>
      <c r="K9" s="35">
        <f t="shared" si="2"/>
        <v>668</v>
      </c>
      <c r="L9" s="13"/>
    </row>
    <row r="10" spans="3:12" ht="25.05" customHeight="1" x14ac:dyDescent="0.3">
      <c r="C10" s="17" t="s">
        <v>19</v>
      </c>
      <c r="D10" s="14" t="s">
        <v>20</v>
      </c>
      <c r="E10" s="14" t="str">
        <f t="shared" si="0"/>
        <v>72 x 43 ¼ x 47 ¼</v>
      </c>
      <c r="F10" s="15" t="s">
        <v>21</v>
      </c>
      <c r="G10" s="15" t="str">
        <f t="shared" si="1"/>
        <v>80 ¾ x 51 ⅛ x 55 ⅛</v>
      </c>
      <c r="H10" s="16">
        <v>358.5</v>
      </c>
      <c r="I10" s="36">
        <f t="shared" si="3"/>
        <v>790</v>
      </c>
      <c r="J10" s="16">
        <v>530</v>
      </c>
      <c r="K10" s="37">
        <f t="shared" si="2"/>
        <v>1168</v>
      </c>
      <c r="L10" s="9"/>
    </row>
    <row r="11" spans="3:12" ht="25.05" customHeight="1" x14ac:dyDescent="0.3">
      <c r="C11" s="12" t="s">
        <v>22</v>
      </c>
      <c r="D11" s="10" t="s">
        <v>23</v>
      </c>
      <c r="E11" s="10" t="str">
        <f t="shared" si="0"/>
        <v>26 ⅜ x 19 ⅝ x 16 ½</v>
      </c>
      <c r="F11" s="11" t="s">
        <v>24</v>
      </c>
      <c r="G11" s="11" t="str">
        <f t="shared" si="1"/>
        <v>30 ¾ x 24 x 24 ⅜</v>
      </c>
      <c r="H11" s="18">
        <v>52.5</v>
      </c>
      <c r="I11" s="34">
        <f t="shared" si="3"/>
        <v>116</v>
      </c>
      <c r="J11" s="18">
        <v>91.5</v>
      </c>
      <c r="K11" s="35">
        <f t="shared" si="2"/>
        <v>202</v>
      </c>
      <c r="L11" s="13"/>
    </row>
    <row r="12" spans="3:12" ht="25.05" customHeight="1" x14ac:dyDescent="0.3">
      <c r="C12" s="17" t="s">
        <v>25</v>
      </c>
      <c r="D12" s="14" t="s">
        <v>26</v>
      </c>
      <c r="E12" s="14" t="str">
        <f t="shared" si="0"/>
        <v>33 ½ x 25 ⅝ x 21 ⅝</v>
      </c>
      <c r="F12" s="15" t="s">
        <v>27</v>
      </c>
      <c r="G12" s="15" t="str">
        <f t="shared" si="1"/>
        <v>37 ⅜ x 29 ½ x 26 ⅜</v>
      </c>
      <c r="H12" s="41">
        <v>0</v>
      </c>
      <c r="I12" s="43">
        <f t="shared" si="3"/>
        <v>0</v>
      </c>
      <c r="J12" s="41">
        <v>0</v>
      </c>
      <c r="K12" s="44">
        <f t="shared" si="2"/>
        <v>0</v>
      </c>
      <c r="L12" s="9"/>
    </row>
    <row r="13" spans="3:12" ht="25.05" customHeight="1" x14ac:dyDescent="0.3">
      <c r="C13" s="12" t="s">
        <v>28</v>
      </c>
      <c r="D13" s="10" t="s">
        <v>29</v>
      </c>
      <c r="E13" s="10" t="str">
        <f t="shared" si="0"/>
        <v>29 ½ x 19 ⅝ x 15 ¾</v>
      </c>
      <c r="F13" s="11" t="s">
        <v>30</v>
      </c>
      <c r="G13" s="11" t="str">
        <f t="shared" si="1"/>
        <v>33 ½ x 26 ⅜ x 25 ¼</v>
      </c>
      <c r="H13" s="18">
        <v>46</v>
      </c>
      <c r="I13" s="34">
        <f t="shared" si="3"/>
        <v>101</v>
      </c>
      <c r="J13" s="18">
        <v>83.5</v>
      </c>
      <c r="K13" s="35">
        <f t="shared" si="2"/>
        <v>184</v>
      </c>
      <c r="L13" s="13"/>
    </row>
    <row r="14" spans="3:12" s="2" customFormat="1" ht="25.05" customHeight="1" x14ac:dyDescent="0.3">
      <c r="C14" s="17" t="s">
        <v>31</v>
      </c>
      <c r="D14" s="14" t="s">
        <v>29</v>
      </c>
      <c r="E14" s="14" t="str">
        <f t="shared" si="0"/>
        <v>29 ½ x 19 ⅝ x 15 ¾</v>
      </c>
      <c r="F14" s="15" t="s">
        <v>30</v>
      </c>
      <c r="G14" s="15" t="str">
        <f t="shared" si="1"/>
        <v>33 ½ x 26 ⅜ x 25 ¼</v>
      </c>
      <c r="H14" s="16">
        <v>56.5</v>
      </c>
      <c r="I14" s="36">
        <f t="shared" si="3"/>
        <v>125</v>
      </c>
      <c r="J14" s="16">
        <v>94</v>
      </c>
      <c r="K14" s="37">
        <f t="shared" si="2"/>
        <v>207</v>
      </c>
      <c r="L14" s="9"/>
    </row>
    <row r="15" spans="3:12" s="2" customFormat="1" ht="25.05" customHeight="1" x14ac:dyDescent="0.3">
      <c r="C15" s="12" t="s">
        <v>32</v>
      </c>
      <c r="D15" s="38">
        <v>0</v>
      </c>
      <c r="E15" s="38">
        <v>0</v>
      </c>
      <c r="F15" s="10" t="s">
        <v>33</v>
      </c>
      <c r="G15" s="11" t="str">
        <f t="shared" si="1"/>
        <v>4 ⅜ x 29 ⅞ x 26 ⅜</v>
      </c>
      <c r="H15" s="19">
        <v>118</v>
      </c>
      <c r="I15" s="34">
        <f t="shared" si="3"/>
        <v>260</v>
      </c>
      <c r="J15" s="18">
        <v>172</v>
      </c>
      <c r="K15" s="35">
        <f t="shared" si="2"/>
        <v>379</v>
      </c>
      <c r="L15" s="13"/>
    </row>
    <row r="16" spans="3:12" ht="25.05" customHeight="1" x14ac:dyDescent="0.3">
      <c r="C16" s="17" t="s">
        <v>34</v>
      </c>
      <c r="D16" s="39">
        <v>0</v>
      </c>
      <c r="E16" s="39">
        <v>0</v>
      </c>
      <c r="F16" s="39">
        <v>0</v>
      </c>
      <c r="G16" s="39" t="e">
        <f t="shared" si="1"/>
        <v>#VALUE!</v>
      </c>
      <c r="H16" s="41">
        <v>0</v>
      </c>
      <c r="I16" s="43">
        <f t="shared" si="3"/>
        <v>0</v>
      </c>
      <c r="J16" s="41">
        <v>0</v>
      </c>
      <c r="K16" s="44">
        <f t="shared" si="2"/>
        <v>0</v>
      </c>
      <c r="L16" s="9"/>
    </row>
    <row r="17" spans="3:12" ht="25.05" customHeight="1" x14ac:dyDescent="0.3">
      <c r="C17" s="12" t="s">
        <v>35</v>
      </c>
      <c r="D17" s="39">
        <v>0</v>
      </c>
      <c r="E17" s="39">
        <v>0</v>
      </c>
      <c r="F17" s="39">
        <v>0</v>
      </c>
      <c r="G17" s="39" t="e">
        <f t="shared" si="1"/>
        <v>#VALUE!</v>
      </c>
      <c r="H17" s="41">
        <v>0</v>
      </c>
      <c r="I17" s="43">
        <f t="shared" si="3"/>
        <v>0</v>
      </c>
      <c r="J17" s="41">
        <v>0</v>
      </c>
      <c r="K17" s="44">
        <f t="shared" si="2"/>
        <v>0</v>
      </c>
      <c r="L17" s="13"/>
    </row>
    <row r="18" spans="3:12" ht="25.05" customHeight="1" thickBot="1" x14ac:dyDescent="0.35">
      <c r="C18" s="20" t="s">
        <v>36</v>
      </c>
      <c r="D18" s="40">
        <v>0</v>
      </c>
      <c r="E18" s="40">
        <v>0</v>
      </c>
      <c r="F18" s="40">
        <v>0</v>
      </c>
      <c r="G18" s="40" t="e">
        <f t="shared" si="1"/>
        <v>#VALUE!</v>
      </c>
      <c r="H18" s="42">
        <v>0</v>
      </c>
      <c r="I18" s="45">
        <f t="shared" si="3"/>
        <v>0</v>
      </c>
      <c r="J18" s="42">
        <v>0</v>
      </c>
      <c r="K18" s="46">
        <f t="shared" si="2"/>
        <v>0</v>
      </c>
      <c r="L18" s="9"/>
    </row>
    <row r="19" spans="3:12" ht="25.05" customHeight="1" x14ac:dyDescent="0.3">
      <c r="C19" s="21"/>
      <c r="D19" s="13"/>
      <c r="E19" s="13"/>
      <c r="F19" s="13"/>
      <c r="G19" s="13"/>
      <c r="H19" s="22"/>
      <c r="I19" s="13"/>
      <c r="J19" s="13"/>
      <c r="K19" s="13"/>
      <c r="L19" s="13"/>
    </row>
    <row r="20" spans="3:12" ht="25.05" customHeight="1" x14ac:dyDescent="0.3">
      <c r="C20" s="23"/>
      <c r="D20" s="9"/>
      <c r="E20" s="9"/>
      <c r="F20" s="9"/>
      <c r="G20" s="9"/>
      <c r="H20" s="9"/>
      <c r="I20" s="9"/>
      <c r="J20" s="9"/>
      <c r="K20" s="9"/>
      <c r="L20" s="9"/>
    </row>
    <row r="21" spans="3:12" ht="25.05" customHeight="1" thickBot="1" x14ac:dyDescent="0.35">
      <c r="C21" s="23"/>
      <c r="D21" s="9"/>
      <c r="E21" s="9"/>
      <c r="F21" s="9"/>
      <c r="G21" s="9"/>
      <c r="H21" s="9"/>
      <c r="I21" s="9"/>
      <c r="J21" s="9"/>
      <c r="K21" s="9"/>
      <c r="L21" s="9"/>
    </row>
    <row r="22" spans="3:12" ht="25.05" customHeight="1" thickBot="1" x14ac:dyDescent="0.35">
      <c r="C22" s="21"/>
      <c r="D22" s="48" t="s">
        <v>3</v>
      </c>
      <c r="E22" s="87" t="s">
        <v>44</v>
      </c>
      <c r="F22" s="87"/>
      <c r="G22" s="55"/>
      <c r="H22" s="13"/>
      <c r="I22" s="13"/>
      <c r="J22" s="13"/>
      <c r="K22" s="13"/>
      <c r="L22" s="13"/>
    </row>
    <row r="23" spans="3:12" ht="25.05" customHeight="1" thickBot="1" x14ac:dyDescent="0.35">
      <c r="C23" s="23"/>
      <c r="D23" s="50" t="s">
        <v>7</v>
      </c>
      <c r="E23" s="51" t="s">
        <v>37</v>
      </c>
      <c r="F23" s="54" t="s">
        <v>38</v>
      </c>
      <c r="G23" s="55"/>
      <c r="H23" s="9"/>
      <c r="I23" s="9"/>
      <c r="J23" s="9"/>
      <c r="K23" s="9"/>
      <c r="L23" s="9"/>
    </row>
    <row r="24" spans="3:12" ht="25.05" customHeight="1" x14ac:dyDescent="0.3">
      <c r="C24" s="21"/>
      <c r="D24" s="56" t="s">
        <v>10</v>
      </c>
      <c r="E24" s="57">
        <v>0</v>
      </c>
      <c r="F24" s="71" t="str">
        <f>INT(E24/3.785411784)&amp;" gal "&amp;ROUND(MOD(E24/3.785411784,1)*128,0)&amp;" fl oz"</f>
        <v>0 gal 0 fl oz</v>
      </c>
      <c r="G24" s="58"/>
      <c r="H24" s="13"/>
      <c r="I24" s="13"/>
      <c r="J24" s="13"/>
      <c r="K24" s="13"/>
      <c r="L24" s="13"/>
    </row>
    <row r="25" spans="3:12" ht="25.05" customHeight="1" x14ac:dyDescent="0.3">
      <c r="C25" s="23"/>
      <c r="D25" s="17" t="s">
        <v>13</v>
      </c>
      <c r="E25" s="16">
        <v>8</v>
      </c>
      <c r="F25" s="86" t="str">
        <f t="shared" ref="F25:F28" si="4">INT(E25/3.785411784)&amp;" gal "&amp;ROUND(MOD(E25/3.785411784,1)*128,0)&amp;" fl oz"</f>
        <v>2 gal 15 fl oz</v>
      </c>
      <c r="G25" s="59"/>
      <c r="H25" s="9"/>
      <c r="I25" s="9"/>
      <c r="J25" s="9"/>
      <c r="K25" s="9"/>
      <c r="L25" s="9"/>
    </row>
    <row r="26" spans="3:12" ht="25.05" customHeight="1" x14ac:dyDescent="0.3">
      <c r="C26" s="21"/>
      <c r="D26" s="12" t="s">
        <v>16</v>
      </c>
      <c r="E26" s="18">
        <v>12</v>
      </c>
      <c r="F26" s="65" t="str">
        <f t="shared" si="4"/>
        <v>3 gal 22 fl oz</v>
      </c>
      <c r="G26" s="59"/>
      <c r="H26" s="13"/>
      <c r="I26" s="13"/>
      <c r="J26" s="13"/>
      <c r="K26" s="13"/>
      <c r="L26" s="13"/>
    </row>
    <row r="27" spans="3:12" ht="24.6" customHeight="1" x14ac:dyDescent="0.3">
      <c r="C27" s="23"/>
      <c r="D27" s="17" t="s">
        <v>19</v>
      </c>
      <c r="E27" s="16">
        <v>11</v>
      </c>
      <c r="F27" s="86" t="str">
        <f t="shared" si="4"/>
        <v>2 gal 116 fl oz</v>
      </c>
      <c r="G27" s="59"/>
      <c r="H27" s="9"/>
      <c r="I27" s="9"/>
      <c r="J27" s="9"/>
      <c r="K27" s="9"/>
      <c r="L27" s="9"/>
    </row>
    <row r="28" spans="3:12" ht="25.05" customHeight="1" thickBot="1" x14ac:dyDescent="0.35">
      <c r="C28" s="21"/>
      <c r="D28" s="52" t="s">
        <v>22</v>
      </c>
      <c r="E28" s="69">
        <v>20</v>
      </c>
      <c r="F28" s="70" t="str">
        <f t="shared" si="4"/>
        <v>5 gal 36 fl oz</v>
      </c>
      <c r="G28" s="60"/>
      <c r="H28" s="64"/>
      <c r="I28" s="64"/>
      <c r="J28" s="13"/>
      <c r="K28" s="13"/>
      <c r="L28" s="13"/>
    </row>
    <row r="29" spans="3:12" ht="4.8" customHeight="1" thickBot="1" x14ac:dyDescent="0.35">
      <c r="C29" s="21"/>
      <c r="D29" s="66"/>
      <c r="E29" s="67"/>
      <c r="F29" s="68"/>
      <c r="G29" s="61"/>
      <c r="H29" s="72"/>
      <c r="I29" s="72"/>
      <c r="J29" s="13"/>
      <c r="K29" s="13"/>
      <c r="L29" s="13"/>
    </row>
    <row r="30" spans="3:12" ht="17.399999999999999" customHeight="1" thickBot="1" x14ac:dyDescent="0.35">
      <c r="C30" s="21"/>
      <c r="D30" s="66"/>
      <c r="E30" s="67"/>
      <c r="F30" s="68"/>
      <c r="G30" s="61"/>
      <c r="H30" s="100" t="s">
        <v>47</v>
      </c>
      <c r="I30" s="101"/>
      <c r="J30" s="88"/>
      <c r="K30" s="49"/>
      <c r="L30" s="13"/>
    </row>
    <row r="31" spans="3:12" ht="45" customHeight="1" x14ac:dyDescent="0.3">
      <c r="C31" s="21"/>
      <c r="D31" s="73" t="s">
        <v>35</v>
      </c>
      <c r="E31" s="83">
        <v>0</v>
      </c>
      <c r="F31" s="71" t="str">
        <f>INT(E31/3.785411784)&amp;" gal "&amp;ROUND(MOD(E31/3.785411784,1)*128,0)&amp;" fl oz"</f>
        <v>0 gal 0 fl oz</v>
      </c>
      <c r="G31" s="84"/>
      <c r="H31" s="85" t="s">
        <v>45</v>
      </c>
      <c r="I31" s="92"/>
      <c r="J31" s="89"/>
      <c r="K31" s="90"/>
      <c r="L31" s="13"/>
    </row>
    <row r="32" spans="3:12" ht="25.05" customHeight="1" x14ac:dyDescent="0.3">
      <c r="C32" s="21"/>
      <c r="D32" s="77"/>
      <c r="E32" s="82"/>
      <c r="F32" s="53"/>
      <c r="G32" s="80"/>
      <c r="H32" s="74"/>
      <c r="I32" s="93"/>
      <c r="J32" s="91"/>
      <c r="K32" s="90"/>
      <c r="L32" s="13"/>
    </row>
    <row r="33" spans="3:12" ht="25.05" customHeight="1" x14ac:dyDescent="0.3">
      <c r="C33" s="21"/>
      <c r="D33" s="76" t="s">
        <v>36</v>
      </c>
      <c r="E33" s="75">
        <v>0</v>
      </c>
      <c r="F33" s="62" t="str">
        <f>INT(E33/3.785411784)&amp;" gal "&amp;ROUND(MOD(E33/3.785411784,1)*128,0)&amp;" fl oz"</f>
        <v>0 gal 0 fl oz</v>
      </c>
      <c r="G33" s="80"/>
      <c r="H33" s="74" t="s">
        <v>46</v>
      </c>
      <c r="I33" s="93"/>
      <c r="J33" s="91"/>
      <c r="K33" s="90"/>
      <c r="L33" s="13"/>
    </row>
    <row r="34" spans="3:12" ht="25.05" customHeight="1" thickBot="1" x14ac:dyDescent="0.35">
      <c r="C34" s="23"/>
      <c r="D34" s="78"/>
      <c r="E34" s="79"/>
      <c r="F34" s="63"/>
      <c r="G34" s="81"/>
      <c r="H34" s="79"/>
      <c r="I34" s="94"/>
      <c r="J34" s="91"/>
      <c r="K34" s="90"/>
      <c r="L34" s="9"/>
    </row>
  </sheetData>
  <mergeCells count="23">
    <mergeCell ref="H33:H34"/>
    <mergeCell ref="I31:I32"/>
    <mergeCell ref="I33:I34"/>
    <mergeCell ref="D31:D32"/>
    <mergeCell ref="D33:D34"/>
    <mergeCell ref="E31:E32"/>
    <mergeCell ref="F31:G32"/>
    <mergeCell ref="E33:E34"/>
    <mergeCell ref="F33:G34"/>
    <mergeCell ref="H28:I28"/>
    <mergeCell ref="H31:H32"/>
    <mergeCell ref="H30:I30"/>
    <mergeCell ref="F28:G28"/>
    <mergeCell ref="E22:G22"/>
    <mergeCell ref="F23:G23"/>
    <mergeCell ref="F24:G24"/>
    <mergeCell ref="F25:G25"/>
    <mergeCell ref="F26:G26"/>
    <mergeCell ref="F27:G27"/>
    <mergeCell ref="D4:G4"/>
    <mergeCell ref="H4:K4"/>
    <mergeCell ref="C2:K2"/>
    <mergeCell ref="C3:K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9" sqref="G9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vejdi ziyansiz</dc:creator>
  <cp:lastModifiedBy>vejdi ziyansiz</cp:lastModifiedBy>
  <dcterms:created xsi:type="dcterms:W3CDTF">2026-10-16T12:27:29Z</dcterms:created>
  <dcterms:modified xsi:type="dcterms:W3CDTF">2026-10-16T13:31:59Z</dcterms:modified>
</cp:coreProperties>
</file>